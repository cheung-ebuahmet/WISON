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ison\_tools\guides\"/>
    </mc:Choice>
  </mc:AlternateContent>
  <xr:revisionPtr revIDLastSave="0" documentId="13_ncr:1_{EDF8251C-9DB7-4DCD-985B-AB07D5033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关键人员LD核对" sheetId="1" r:id="rId1"/>
    <sheet name="里程碑LD核对" sheetId="2" r:id="rId2"/>
    <sheet name="计划违约LD核对" sheetId="3" r:id="rId3"/>
    <sheet name="说明与基数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3" l="1"/>
  <c r="F17" i="3"/>
  <c r="F16" i="3"/>
  <c r="F15" i="3"/>
  <c r="F19" i="3" s="1"/>
  <c r="L11" i="2"/>
  <c r="K11" i="2"/>
  <c r="K10" i="2"/>
  <c r="L10" i="2" s="1"/>
  <c r="K9" i="2"/>
  <c r="L9" i="2" s="1"/>
  <c r="K8" i="2"/>
  <c r="L8" i="2" s="1"/>
  <c r="K7" i="2"/>
  <c r="L7" i="2" s="1"/>
  <c r="K6" i="2"/>
  <c r="L6" i="2" s="1"/>
  <c r="I12" i="1"/>
  <c r="I11" i="1"/>
  <c r="I10" i="1"/>
  <c r="I9" i="1"/>
  <c r="I8" i="1"/>
  <c r="I7" i="1"/>
  <c r="I6" i="1"/>
  <c r="L18" i="2" l="1"/>
</calcChain>
</file>

<file path=xl/sharedStrings.xml><?xml version="1.0" encoding="utf-8"?>
<sst xmlns="http://schemas.openxmlformats.org/spreadsheetml/2006/main" count="221" uniqueCount="125">
  <si>
    <t>CCECC MEI Pkg I — 关键人员违约金（LD）核对表</t>
  </si>
  <si>
    <t>条款依据：Exh E - Quality Requirements, Appendix "Key Personnel &amp; Liquidated Damages"（LOA后30天动员到位）；GCS Clause 8 SUBCONTRACTOR'S PERSONNEL</t>
  </si>
  <si>
    <t>LOA日期：2026-04-07 → 关键人员应到位日 = 2026-05-07。逾期按每人每天计，未到场者按截至今日持续累计。</t>
  </si>
  <si>
    <t>序号</t>
  </si>
  <si>
    <t>岗位 Position</t>
  </si>
  <si>
    <t>违约事项</t>
  </si>
  <si>
    <t>条款依据</t>
  </si>
  <si>
    <t>应到日期</t>
  </si>
  <si>
    <t>单价
AED/天</t>
  </si>
  <si>
    <t>违约金
AED (自动)</t>
  </si>
  <si>
    <t>未在LOA后30天动员到位 / 擅自替换缺席</t>
  </si>
  <si>
    <t>Appendix KEY PERSONNEL MOBILISATION; GCS Cl.8</t>
  </si>
  <si>
    <t>Construction Manager 施工经理</t>
  </si>
  <si>
    <t>Control Manager 控制经理</t>
  </si>
  <si>
    <t>Contract/Commercial Manager 合同/商务经理</t>
  </si>
  <si>
    <t>HSE Manager 安全经理</t>
  </si>
  <si>
    <t>Quality Manager 质量经理</t>
  </si>
  <si>
    <t>Procurement Manager 采购经理</t>
  </si>
  <si>
    <t>合计（7人×10,000/天）</t>
  </si>
  <si>
    <t>CCECC MEI Pkg I — 里程碑延误违约金（LD）核对表</t>
  </si>
  <si>
    <t>条款依据：GCS Clause 17.0 LIQUIDATED DAMAGES；Exh A.2 Work Schedule（A.2.1 Key Milestone / A.2.3 Delay LD）。LD = 每天 0.1% × 各包合同价（不足一天按比例），合计上限 10%。</t>
  </si>
  <si>
    <t>LD基数：Pkg I-1 = AED 106,628,202.89（不含VAT）；Pkg I-3 = AED 54,263,785.30（不含VAT）。每天LD = 基数 × 0.1%。</t>
  </si>
  <si>
    <t>包
Package</t>
  </si>
  <si>
    <t>里程碑 Milestone</t>
  </si>
  <si>
    <t>合同完成日期</t>
  </si>
  <si>
    <t>LD费率
/天</t>
  </si>
  <si>
    <t>LD基数
AED</t>
  </si>
  <si>
    <t>每天LD
AED (自动)</t>
  </si>
  <si>
    <t>上限</t>
  </si>
  <si>
    <t>Pkg I-1</t>
  </si>
  <si>
    <t>施工准备就绪 Construction preparation ready</t>
  </si>
  <si>
    <t>未按期达成关键里程碑/完工</t>
  </si>
  <si>
    <t>GCS Cl.17.0; Exh A.2.3</t>
  </si>
  <si>
    <t>0.1%</t>
  </si>
  <si>
    <t>9%</t>
  </si>
  <si>
    <t>造粒机设备安装 Granulator Equipment</t>
  </si>
  <si>
    <t>造粒机房安装 Granulator Building</t>
  </si>
  <si>
    <t>输送系统安装 Conveyors System (除CV-0003A/B、TT14)</t>
  </si>
  <si>
    <t>机械竣工 Mechanical Completion</t>
  </si>
  <si>
    <t>全部punch关闭 All punch closed</t>
  </si>
  <si>
    <t>1%</t>
  </si>
  <si>
    <t>Pkg I-3</t>
  </si>
  <si>
    <t>线性仓储钢结构安装 Linear Storage Steel</t>
  </si>
  <si>
    <t>堆取料机设备安装 Stacker/Reclaimer Equipment</t>
  </si>
  <si>
    <t>线性仓储建筑安装 Linear Storage Building (含CV-0003A/B、TT14)</t>
  </si>
  <si>
    <t>合计</t>
  </si>
  <si>
    <t>CCECC MEI Pkg I — 计划/进度工作违约与 LD 核对表</t>
  </si>
  <si>
    <t>核心出处：Exhibit J "Scheduling &amp; Reporting"（Schedule Manager Personnel / Schedule Preparation and Submission / Progress Monitoring and Reporting / LD for non-compliance）；GCS Clause 14（WORK PROGRAM）。</t>
  </si>
  <si>
    <t>条款出处</t>
  </si>
  <si>
    <t>备注</t>
  </si>
  <si>
    <t>交付物</t>
  </si>
  <si>
    <t>时间要求</t>
  </si>
  <si>
    <t>1个月 look-ahead 施工计划</t>
  </si>
  <si>
    <t>动员到现场后 2 个日历日内</t>
  </si>
  <si>
    <t>含任务分解、每日计划量、每日人机分配、材料供应、安全质量控制时间线</t>
  </si>
  <si>
    <t>Master Schedule（总体计划）</t>
  </si>
  <si>
    <t>开工日（Commencement Date）后 10 天内提交审批</t>
  </si>
  <si>
    <t>覆盖所有主要活动 + 资源需求清单</t>
  </si>
  <si>
    <t>合同生效日后 14 个日历日内提交，承包商 14 天内审批</t>
  </si>
  <si>
    <t>须 resource-loaded、CPM、含关键里程碑/关键路径(红色标出)</t>
  </si>
  <si>
    <t>Progress Schedule 更新</t>
  </si>
  <si>
    <t>每周更新，随进度报告提交</t>
  </si>
  <si>
    <t>进度报告（日报/周报/月报）</t>
  </si>
  <si>
    <t>daily/weekly/monthly</t>
  </si>
  <si>
    <t>LD 金额/单价
(自动填入)</t>
  </si>
  <si>
    <t>按次计</t>
  </si>
  <si>
    <t>会议迟到或早退</t>
  </si>
  <si>
    <t>未按期提交可接受的 Baseline Schedule（一次性）</t>
  </si>
  <si>
    <t>一次性</t>
  </si>
  <si>
    <t>Baseline 每逾期一天（在一次性之后累计）</t>
  </si>
  <si>
    <t>按天累计</t>
  </si>
  <si>
    <t>核对表使用说明与计算基数</t>
  </si>
  <si>
    <t>一、关键人员 LD（Sheet 1）</t>
  </si>
  <si>
    <t>Exh E - Quality Requirements, Appendix "Key Personnel &amp; Liquidated Damages"</t>
  </si>
  <si>
    <t>动员要求</t>
  </si>
  <si>
    <t>关键人员须在 LOA 后 30 天内动员到位（LOA = 2026-04-07 → 应到 = 2026-05-07）</t>
  </si>
  <si>
    <t>单价</t>
  </si>
  <si>
    <t>应至未至（按天累计）；未经批准擅自替换/缺席（GCS Cl.8，构成重大违约）</t>
  </si>
  <si>
    <t>计算</t>
  </si>
  <si>
    <t>二、里程碑 LD（Sheet 2）</t>
  </si>
  <si>
    <t>GCS Clause 17.0；Exh A.2 Work Schedule（A.2.1 / A.2.3）</t>
  </si>
  <si>
    <t>费率</t>
  </si>
  <si>
    <t>每天 0.1% × 各包合同价（不足一天按比例），合计上限 10% 合同价</t>
  </si>
  <si>
    <t>每天LD = 基数 × 0.1%；违约金 = 逾期天数 × 每天LD</t>
  </si>
  <si>
    <t>返还机制</t>
  </si>
  <si>
    <t>若最终按期达成 Mechanical Completion，此前已扣的延误LD 可全额返还（GCS Sub-Clause 17.4）</t>
  </si>
  <si>
    <t>三、合同价与LD基数（不含VAT）</t>
  </si>
  <si>
    <t>合同价（两包合计，暂定）</t>
  </si>
  <si>
    <t>AED 160,891,988.19</t>
  </si>
  <si>
    <t>Pkg I-1（Package #1）</t>
  </si>
  <si>
    <t>AED 106,628,202.89（间接费 AED 28,335,700）→ 每天LD ≈ AED 106,628</t>
  </si>
  <si>
    <t>Pkg I-3（Package #3）</t>
  </si>
  <si>
    <t>AED 54,263,785.30（间接费 AED 14,341,800）→ 每天LD ≈ AED 54,264</t>
  </si>
  <si>
    <t>LD上限 10%</t>
  </si>
  <si>
    <t>≈ AED 16,089,199（两包合计口径）</t>
  </si>
  <si>
    <t>四、待确认口径</t>
  </si>
  <si>
    <t>LD基数</t>
  </si>
  <si>
    <t>合同价为 Provisional（暂定），最终以实际计量为准；对外发函前需法务确认按暂定还是最终价计</t>
  </si>
  <si>
    <t>动员宽限</t>
  </si>
  <si>
    <r>
      <t xml:space="preserve">A. </t>
    </r>
    <r>
      <rPr>
        <b/>
        <sz val="11"/>
        <color rgb="FF1A3A5C"/>
        <rFont val="Microsoft YaHei"/>
        <family val="2"/>
        <charset val="134"/>
      </rPr>
      <t>计划</t>
    </r>
    <r>
      <rPr>
        <b/>
        <sz val="11"/>
        <color rgb="FF1A3A5C"/>
        <rFont val="Arial"/>
        <family val="2"/>
      </rPr>
      <t>/</t>
    </r>
    <r>
      <rPr>
        <b/>
        <sz val="11"/>
        <color rgb="FF1A3A5C"/>
        <rFont val="Microsoft YaHei"/>
        <family val="2"/>
        <charset val="134"/>
      </rPr>
      <t>进度交付物提交核对</t>
    </r>
    <phoneticPr fontId="6" type="noConversion"/>
  </si>
  <si>
    <r>
      <rPr>
        <sz val="10"/>
        <rFont val="Microsoft YaHei"/>
        <family val="2"/>
        <charset val="134"/>
      </rPr>
      <t>每岗</t>
    </r>
    <r>
      <rPr>
        <sz val="10"/>
        <rFont val="Arial"/>
        <family val="2"/>
      </rPr>
      <t xml:space="preserve"> 10,000 AED/</t>
    </r>
    <r>
      <rPr>
        <sz val="10"/>
        <rFont val="Microsoft YaHei"/>
        <family val="2"/>
        <charset val="134"/>
      </rPr>
      <t>天；</t>
    </r>
    <r>
      <rPr>
        <sz val="10"/>
        <rFont val="Arial"/>
        <family val="2"/>
      </rPr>
      <t xml:space="preserve">7 </t>
    </r>
    <r>
      <rPr>
        <sz val="10"/>
        <rFont val="Microsoft YaHei"/>
        <family val="2"/>
        <charset val="134"/>
      </rPr>
      <t>岗合计</t>
    </r>
    <r>
      <rPr>
        <sz val="10"/>
        <rFont val="Arial"/>
        <family val="2"/>
      </rPr>
      <t xml:space="preserve"> 70,000 AED/</t>
    </r>
    <r>
      <rPr>
        <sz val="10"/>
        <rFont val="Microsoft YaHei"/>
        <family val="2"/>
        <charset val="134"/>
      </rPr>
      <t>天</t>
    </r>
    <r>
      <rPr>
        <sz val="10"/>
        <rFont val="DengXian"/>
        <family val="3"/>
        <charset val="134"/>
      </rPr>
      <t>（如全部缺位）</t>
    </r>
    <phoneticPr fontId="6" type="noConversion"/>
  </si>
  <si>
    <r>
      <rPr>
        <sz val="10"/>
        <rFont val="Microsoft YaHei"/>
        <family val="2"/>
        <charset val="134"/>
      </rPr>
      <t>违约金</t>
    </r>
    <r>
      <rPr>
        <sz val="10"/>
        <rFont val="Arial"/>
        <family val="2"/>
      </rPr>
      <t xml:space="preserve"> = </t>
    </r>
    <r>
      <rPr>
        <sz val="10"/>
        <rFont val="Microsoft YaHei"/>
        <family val="2"/>
        <charset val="134"/>
      </rPr>
      <t>逾期天数</t>
    </r>
    <r>
      <rPr>
        <sz val="10"/>
        <rFont val="Arial"/>
        <family val="2"/>
      </rPr>
      <t xml:space="preserve"> × 10,000</t>
    </r>
    <r>
      <rPr>
        <sz val="10"/>
        <rFont val="Microsoft YaHei"/>
        <family val="2"/>
        <charset val="134"/>
      </rPr>
      <t>。未到场者按</t>
    </r>
    <r>
      <rPr>
        <sz val="10"/>
        <rFont val="Arial"/>
        <family val="2"/>
      </rPr>
      <t>"</t>
    </r>
    <r>
      <rPr>
        <sz val="10"/>
        <rFont val="Microsoft YaHei"/>
        <family val="2"/>
        <charset val="134"/>
      </rPr>
      <t>截至今日</t>
    </r>
    <r>
      <rPr>
        <sz val="10"/>
        <rFont val="Arial"/>
        <family val="2"/>
      </rPr>
      <t>"</t>
    </r>
    <r>
      <rPr>
        <sz val="10"/>
        <rFont val="Microsoft YaHei"/>
        <family val="2"/>
        <charset val="134"/>
      </rPr>
      <t>持续累计</t>
    </r>
    <phoneticPr fontId="6" type="noConversion"/>
  </si>
  <si>
    <r>
      <t xml:space="preserve">LOA </t>
    </r>
    <r>
      <rPr>
        <sz val="10"/>
        <rFont val="Microsoft YaHei"/>
        <family val="2"/>
        <charset val="134"/>
      </rPr>
      <t>正文要求</t>
    </r>
    <r>
      <rPr>
        <sz val="10"/>
        <rFont val="Arial"/>
        <family val="2"/>
      </rPr>
      <t xml:space="preserve"> 2026-04-07 </t>
    </r>
    <r>
      <rPr>
        <sz val="10"/>
        <rFont val="Microsoft YaHei"/>
        <family val="2"/>
        <charset val="134"/>
      </rPr>
      <t>起开展前置工作；</t>
    </r>
    <r>
      <rPr>
        <sz val="10"/>
        <rFont val="Arial"/>
        <family val="2"/>
      </rPr>
      <t>30</t>
    </r>
    <r>
      <rPr>
        <sz val="10"/>
        <rFont val="Microsoft YaHei"/>
        <family val="2"/>
        <charset val="134"/>
      </rPr>
      <t>天动员窗口按</t>
    </r>
    <r>
      <rPr>
        <sz val="10"/>
        <rFont val="Arial"/>
        <family val="2"/>
      </rPr>
      <t xml:space="preserve"> LOA </t>
    </r>
    <r>
      <rPr>
        <sz val="10"/>
        <rFont val="Microsoft YaHei"/>
        <family val="2"/>
        <charset val="134"/>
      </rPr>
      <t>日期起算（如有书面另行约定以书面为准）</t>
    </r>
    <phoneticPr fontId="6" type="noConversion"/>
  </si>
  <si>
    <r>
      <t xml:space="preserve">B. </t>
    </r>
    <r>
      <rPr>
        <b/>
        <sz val="11"/>
        <color rgb="FF1A3A5C"/>
        <rFont val="Microsoft YaHei"/>
        <family val="2"/>
        <charset val="134"/>
      </rPr>
      <t>计划工作违约</t>
    </r>
    <r>
      <rPr>
        <b/>
        <sz val="11"/>
        <color rgb="FF1A3A5C"/>
        <rFont val="Arial"/>
        <family val="2"/>
      </rPr>
      <t xml:space="preserve"> LD </t>
    </r>
    <r>
      <rPr>
        <b/>
        <sz val="11"/>
        <color rgb="FF1A3A5C"/>
        <rFont val="Microsoft YaHei"/>
        <family val="2"/>
        <charset val="134"/>
      </rPr>
      <t>罚则（有明确金额，可计算）</t>
    </r>
    <phoneticPr fontId="6" type="noConversion"/>
  </si>
  <si>
    <t>Project Manager 项目经理</t>
    <phoneticPr fontId="6" type="noConversion"/>
  </si>
  <si>
    <t>实际到场日期</t>
    <phoneticPr fontId="6" type="noConversion"/>
  </si>
  <si>
    <t>逾期天数</t>
    <phoneticPr fontId="6" type="noConversion"/>
  </si>
  <si>
    <t>实际完成日期</t>
    <phoneticPr fontId="6" type="noConversion"/>
  </si>
  <si>
    <t>备注</t>
    <phoneticPr fontId="6" type="noConversion"/>
  </si>
  <si>
    <t>实际提交日期</t>
    <phoneticPr fontId="6" type="noConversion"/>
  </si>
  <si>
    <t>是否逾期</t>
    <phoneticPr fontId="6" type="noConversion"/>
  </si>
  <si>
    <r>
      <rPr>
        <b/>
        <sz val="10"/>
        <color rgb="FFFFFFFF"/>
        <rFont val="Microsoft YaHei"/>
        <family val="2"/>
        <charset val="134"/>
      </rPr>
      <t>发生次数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icrosoft YaHei"/>
        <family val="2"/>
        <charset val="134"/>
      </rPr>
      <t>天数</t>
    </r>
    <phoneticPr fontId="6" type="noConversion"/>
  </si>
  <si>
    <r>
      <rPr>
        <b/>
        <sz val="10"/>
        <color rgb="FFFFFFFF"/>
        <rFont val="Microsoft YaHei"/>
        <family val="2"/>
        <charset val="134"/>
      </rPr>
      <t>违约金</t>
    </r>
    <r>
      <rPr>
        <b/>
        <sz val="10"/>
        <color rgb="FFFFFFFF"/>
        <rFont val="Arial"/>
        <family val="2"/>
      </rPr>
      <t xml:space="preserve"> AED</t>
    </r>
    <phoneticPr fontId="6" type="noConversion"/>
  </si>
  <si>
    <t>Exh J [p4]</t>
    <phoneticPr fontId="6" type="noConversion"/>
  </si>
  <si>
    <t>GCS Cl.14</t>
    <phoneticPr fontId="6" type="noConversion"/>
  </si>
  <si>
    <r>
      <t>Baseline Schedule</t>
    </r>
    <r>
      <rPr>
        <sz val="10"/>
        <rFont val="Microsoft YaHei"/>
        <family val="2"/>
        <charset val="134"/>
      </rPr>
      <t>（</t>
    </r>
    <r>
      <rPr>
        <sz val="10"/>
        <rFont val="Arial"/>
        <family val="2"/>
      </rPr>
      <t xml:space="preserve">Level 4 </t>
    </r>
    <r>
      <rPr>
        <sz val="10"/>
        <rFont val="Microsoft YaHei"/>
        <family val="2"/>
        <charset val="134"/>
      </rPr>
      <t>基准计划）</t>
    </r>
    <phoneticPr fontId="6" type="noConversion"/>
  </si>
  <si>
    <t>Exh J [p7]</t>
    <phoneticPr fontId="6" type="noConversion"/>
  </si>
  <si>
    <t>Exh J [p7][p4]</t>
    <phoneticPr fontId="6" type="noConversion"/>
  </si>
  <si>
    <r>
      <rPr>
        <sz val="10"/>
        <rFont val="Microsoft YaHei"/>
        <family val="2"/>
        <charset val="134"/>
      </rPr>
      <t>按</t>
    </r>
    <r>
      <rPr>
        <sz val="10"/>
        <rFont val="Arial"/>
        <family val="2"/>
      </rPr>
      <t xml:space="preserve"> Annex 6 Project Reporting Procedure </t>
    </r>
    <r>
      <rPr>
        <sz val="10"/>
        <rFont val="Microsoft YaHei"/>
        <family val="2"/>
        <charset val="134"/>
      </rPr>
      <t>格式提交</t>
    </r>
    <phoneticPr fontId="6" type="noConversion"/>
  </si>
  <si>
    <t>Exh J</t>
    <phoneticPr fontId="6" type="noConversion"/>
  </si>
  <si>
    <t>缺席要求的进度会议 (schedule meeting)</t>
    <phoneticPr fontId="6" type="noConversion"/>
  </si>
  <si>
    <t>YES</t>
    <phoneticPr fontId="6" type="noConversion"/>
  </si>
  <si>
    <t>NULL</t>
    <phoneticPr fontId="6" type="noConversion"/>
  </si>
  <si>
    <t>N/A</t>
    <phoneticPr fontId="6" type="noConversion"/>
  </si>
  <si>
    <t>15 days after SLT-5312-WSN-CCC-0006 (dated 10 Jul, 2026)_NOTICE OF DELAY MEI Pkg I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</si>
</sst>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m\-yyyy"/>
  </numFmts>
  <fonts count="18">
    <font>
      <sz val="11"/>
      <color theme="1"/>
      <name val="宋体"/>
      <family val="2"/>
      <scheme val="minor"/>
    </font>
    <font>
      <b/>
      <sz val="13"/>
      <color rgb="FF1A3A5C"/>
      <name val="Arial"/>
    </font>
    <font>
      <sz val="9"/>
      <color rgb="FF6B728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9"/>
      <name val="宋体"/>
      <family val="3"/>
      <charset val="134"/>
      <scheme val="minor"/>
    </font>
    <font>
      <b/>
      <sz val="11"/>
      <color rgb="FF1A3A5C"/>
      <name val="Microsoft YaHei"/>
      <family val="2"/>
      <charset val="134"/>
    </font>
    <font>
      <b/>
      <sz val="11"/>
      <color rgb="FF1A3A5C"/>
      <name val="Arial"/>
      <family val="2"/>
    </font>
    <font>
      <sz val="10"/>
      <name val="Microsoft YaHei"/>
      <family val="2"/>
      <charset val="134"/>
    </font>
    <font>
      <sz val="10"/>
      <name val="Arial"/>
      <family val="2"/>
    </font>
    <font>
      <sz val="10"/>
      <name val="DengXian"/>
      <family val="3"/>
      <charset val="134"/>
    </font>
    <font>
      <sz val="10"/>
      <name val="Arial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34"/>
    </font>
    <font>
      <strike/>
      <sz val="11"/>
      <color theme="1"/>
      <name val="宋体"/>
      <family val="2"/>
      <scheme val="minor"/>
    </font>
    <font>
      <strike/>
      <sz val="11"/>
      <color theme="1"/>
      <name val="宋体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3CD"/>
      </patternFill>
    </fill>
    <fill>
      <patternFill patternType="solid">
        <fgColor rgb="FFE8F0E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/>
    <xf numFmtId="176" fontId="0" fillId="3" borderId="1" xfId="0" applyNumberFormat="1" applyFill="1" applyBorder="1"/>
    <xf numFmtId="0" fontId="0" fillId="4" borderId="1" xfId="0" applyFill="1" applyBorder="1"/>
    <xf numFmtId="3" fontId="0" fillId="0" borderId="1" xfId="0" applyNumberFormat="1" applyBorder="1"/>
    <xf numFmtId="4" fontId="0" fillId="4" borderId="1" xfId="0" applyNumberFormat="1" applyFill="1" applyBorder="1"/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4" fontId="0" fillId="0" borderId="1" xfId="0" applyNumberFormat="1" applyBorder="1"/>
    <xf numFmtId="4" fontId="0" fillId="4" borderId="1" xfId="0" applyNumberForma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8" fillId="0" borderId="0" xfId="0" applyFont="1"/>
    <xf numFmtId="0" fontId="1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3" borderId="1" xfId="0" applyFont="1" applyFill="1" applyBorder="1"/>
    <xf numFmtId="0" fontId="10" fillId="3" borderId="1" xfId="0" applyFont="1" applyFill="1" applyBorder="1"/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176" fontId="17" fillId="0" borderId="1" xfId="0" applyNumberFormat="1" applyFont="1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3</xdr:col>
      <xdr:colOff>2077325</xdr:colOff>
      <xdr:row>38</xdr:row>
      <xdr:rowOff>10053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AC5C135-E346-820E-0216-BB50F828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152900"/>
          <a:ext cx="6268325" cy="378195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39</xdr:row>
      <xdr:rowOff>9525</xdr:rowOff>
    </xdr:from>
    <xdr:to>
      <xdr:col>3</xdr:col>
      <xdr:colOff>848427</xdr:colOff>
      <xdr:row>45</xdr:row>
      <xdr:rowOff>19195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AA1A6F3-E821-7390-B5C8-09298FB3D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8105775"/>
          <a:ext cx="5029902" cy="1038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457990</xdr:colOff>
      <xdr:row>29</xdr:row>
      <xdr:rowOff>47847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C56055D-EEED-CC5B-D7F9-5BDA2C69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5695950"/>
          <a:ext cx="5658640" cy="1590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667852</xdr:colOff>
      <xdr:row>69</xdr:row>
      <xdr:rowOff>933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AEE4ACD-751D-2FA2-0083-0112F120D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7410450"/>
          <a:ext cx="7897327" cy="66874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3</xdr:col>
      <xdr:colOff>372356</xdr:colOff>
      <xdr:row>37</xdr:row>
      <xdr:rowOff>57517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22FDF04-2216-48F3-87EB-291E0BBF8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143750"/>
          <a:ext cx="6315956" cy="2629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3334577</xdr:colOff>
      <xdr:row>55</xdr:row>
      <xdr:rowOff>9909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6012FDC-C3A0-465B-B4BB-9D530083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10058400"/>
          <a:ext cx="5925377" cy="27531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3</xdr:col>
      <xdr:colOff>391409</xdr:colOff>
      <xdr:row>66</xdr:row>
      <xdr:rowOff>28794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BA88076-65FE-9B54-7903-E196821CA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12982575"/>
          <a:ext cx="6335009" cy="1571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3</xdr:col>
      <xdr:colOff>334251</xdr:colOff>
      <xdr:row>73</xdr:row>
      <xdr:rowOff>162067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687D3ED-1885-4B0E-80B2-9C16DA555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" y="14239875"/>
          <a:ext cx="6277851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3</xdr:col>
      <xdr:colOff>381883</xdr:colOff>
      <xdr:row>82</xdr:row>
      <xdr:rowOff>38249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27C8658-BC0D-486D-8603-D2604F32D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" y="15611475"/>
          <a:ext cx="6325483" cy="1066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3</xdr:col>
      <xdr:colOff>67514</xdr:colOff>
      <xdr:row>98</xdr:row>
      <xdr:rowOff>19388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CA59BA6-F664-4AFD-B9F7-0A217BFC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0" y="16983075"/>
          <a:ext cx="6011114" cy="24196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3</xdr:col>
      <xdr:colOff>67514</xdr:colOff>
      <xdr:row>100</xdr:row>
      <xdr:rowOff>114364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9E644E9D-134F-4AA3-8787-F624C5268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" y="19383375"/>
          <a:ext cx="6011114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5" topLeftCell="A6" activePane="bottomLeft" state="frozen"/>
      <selection pane="bottomLeft" activeCell="I18" sqref="I18"/>
    </sheetView>
  </sheetViews>
  <sheetFormatPr defaultRowHeight="13.5"/>
  <cols>
    <col min="1" max="1" width="5" customWidth="1"/>
    <col min="2" max="2" width="29" bestFit="1" customWidth="1"/>
    <col min="3" max="3" width="26" customWidth="1"/>
    <col min="4" max="4" width="30" customWidth="1"/>
    <col min="5" max="5" width="12" customWidth="1"/>
    <col min="6" max="6" width="14" customWidth="1"/>
    <col min="7" max="7" width="10" customWidth="1"/>
    <col min="8" max="8" width="11" customWidth="1"/>
    <col min="9" max="9" width="14" customWidth="1"/>
    <col min="10" max="10" width="16" customWidth="1"/>
  </cols>
  <sheetData>
    <row r="1" spans="1:10" ht="16.5">
      <c r="A1" s="1" t="s">
        <v>0</v>
      </c>
    </row>
    <row r="2" spans="1:10" ht="14.25">
      <c r="A2" s="2" t="s">
        <v>1</v>
      </c>
    </row>
    <row r="3" spans="1:10" ht="14.25">
      <c r="A3" s="2" t="s">
        <v>2</v>
      </c>
    </row>
    <row r="5" spans="1:10" ht="25.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24" t="s">
        <v>105</v>
      </c>
      <c r="G5" s="24" t="s">
        <v>106</v>
      </c>
      <c r="H5" s="3" t="s">
        <v>8</v>
      </c>
      <c r="I5" s="3" t="s">
        <v>9</v>
      </c>
      <c r="J5" s="24" t="s">
        <v>108</v>
      </c>
    </row>
    <row r="6" spans="1:10" ht="27">
      <c r="A6" s="4">
        <v>1</v>
      </c>
      <c r="B6" s="5" t="s">
        <v>104</v>
      </c>
      <c r="C6" s="5" t="s">
        <v>10</v>
      </c>
      <c r="D6" s="5" t="s">
        <v>11</v>
      </c>
      <c r="E6" s="6">
        <v>46149</v>
      </c>
      <c r="F6" s="7"/>
      <c r="G6" s="8"/>
      <c r="H6" s="9">
        <v>10000</v>
      </c>
      <c r="I6" s="10">
        <f t="shared" ref="I6:I12" si="0">G6*H6</f>
        <v>0</v>
      </c>
      <c r="J6" s="11"/>
    </row>
    <row r="7" spans="1:10" ht="27">
      <c r="A7" s="4">
        <v>2</v>
      </c>
      <c r="B7" s="5" t="s">
        <v>12</v>
      </c>
      <c r="C7" s="5" t="s">
        <v>10</v>
      </c>
      <c r="D7" s="5" t="s">
        <v>11</v>
      </c>
      <c r="E7" s="6">
        <v>46149</v>
      </c>
      <c r="F7" s="7"/>
      <c r="G7" s="8"/>
      <c r="H7" s="9">
        <v>10000</v>
      </c>
      <c r="I7" s="10">
        <f t="shared" si="0"/>
        <v>0</v>
      </c>
      <c r="J7" s="11"/>
    </row>
    <row r="8" spans="1:10" ht="27">
      <c r="A8" s="4">
        <v>3</v>
      </c>
      <c r="B8" s="5" t="s">
        <v>13</v>
      </c>
      <c r="C8" s="5" t="s">
        <v>10</v>
      </c>
      <c r="D8" s="5" t="s">
        <v>11</v>
      </c>
      <c r="E8" s="6">
        <v>46149</v>
      </c>
      <c r="F8" s="7"/>
      <c r="G8" s="8"/>
      <c r="H8" s="9">
        <v>10000</v>
      </c>
      <c r="I8" s="10">
        <f t="shared" si="0"/>
        <v>0</v>
      </c>
      <c r="J8" s="11"/>
    </row>
    <row r="9" spans="1:10" ht="27">
      <c r="A9" s="4">
        <v>4</v>
      </c>
      <c r="B9" s="5" t="s">
        <v>14</v>
      </c>
      <c r="C9" s="5" t="s">
        <v>10</v>
      </c>
      <c r="D9" s="5" t="s">
        <v>11</v>
      </c>
      <c r="E9" s="6">
        <v>46149</v>
      </c>
      <c r="F9" s="7"/>
      <c r="G9" s="8"/>
      <c r="H9" s="9">
        <v>10000</v>
      </c>
      <c r="I9" s="10">
        <f t="shared" si="0"/>
        <v>0</v>
      </c>
      <c r="J9" s="11"/>
    </row>
    <row r="10" spans="1:10" ht="27">
      <c r="A10" s="4">
        <v>5</v>
      </c>
      <c r="B10" s="5" t="s">
        <v>15</v>
      </c>
      <c r="C10" s="5" t="s">
        <v>10</v>
      </c>
      <c r="D10" s="5" t="s">
        <v>11</v>
      </c>
      <c r="E10" s="6">
        <v>46149</v>
      </c>
      <c r="F10" s="7"/>
      <c r="G10" s="8"/>
      <c r="H10" s="9">
        <v>10000</v>
      </c>
      <c r="I10" s="10">
        <f t="shared" si="0"/>
        <v>0</v>
      </c>
      <c r="J10" s="11"/>
    </row>
    <row r="11" spans="1:10" ht="27">
      <c r="A11" s="4">
        <v>6</v>
      </c>
      <c r="B11" s="5" t="s">
        <v>16</v>
      </c>
      <c r="C11" s="5" t="s">
        <v>10</v>
      </c>
      <c r="D11" s="5" t="s">
        <v>11</v>
      </c>
      <c r="E11" s="6">
        <v>46149</v>
      </c>
      <c r="F11" s="7"/>
      <c r="G11" s="8"/>
      <c r="H11" s="9">
        <v>10000</v>
      </c>
      <c r="I11" s="10">
        <f t="shared" si="0"/>
        <v>0</v>
      </c>
      <c r="J11" s="11"/>
    </row>
    <row r="12" spans="1:10" ht="27">
      <c r="A12" s="4">
        <v>7</v>
      </c>
      <c r="B12" s="5" t="s">
        <v>17</v>
      </c>
      <c r="C12" s="5" t="s">
        <v>10</v>
      </c>
      <c r="D12" s="5" t="s">
        <v>11</v>
      </c>
      <c r="E12" s="6">
        <v>46149</v>
      </c>
      <c r="F12" s="7"/>
      <c r="G12" s="8"/>
      <c r="H12" s="9">
        <v>10000</v>
      </c>
      <c r="I12" s="10">
        <f t="shared" si="0"/>
        <v>0</v>
      </c>
      <c r="J12" s="11"/>
    </row>
    <row r="13" spans="1:10">
      <c r="A13" s="4"/>
      <c r="B13" s="12" t="s">
        <v>18</v>
      </c>
      <c r="C13" s="5"/>
      <c r="D13" s="5"/>
      <c r="E13" s="11"/>
      <c r="F13" s="11"/>
      <c r="G13" s="11"/>
      <c r="H13" s="9"/>
      <c r="I13" s="9"/>
      <c r="J13" s="11"/>
    </row>
  </sheetData>
  <phoneticPr fontId="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pane ySplit="5" topLeftCell="A9" activePane="bottomLeft" state="frozen"/>
      <selection pane="bottomLeft" activeCell="N7" sqref="N7"/>
    </sheetView>
  </sheetViews>
  <sheetFormatPr defaultRowHeight="13.5"/>
  <cols>
    <col min="1" max="1" width="5" customWidth="1"/>
    <col min="2" max="2" width="9" customWidth="1"/>
    <col min="3" max="3" width="40" customWidth="1"/>
    <col min="4" max="4" width="19.25" bestFit="1" customWidth="1"/>
    <col min="5" max="5" width="13.875" bestFit="1" customWidth="1"/>
    <col min="6" max="7" width="12.75" bestFit="1" customWidth="1"/>
    <col min="8" max="8" width="10" customWidth="1"/>
    <col min="9" max="9" width="8" customWidth="1"/>
    <col min="10" max="10" width="15" customWidth="1"/>
    <col min="11" max="11" width="13" customWidth="1"/>
    <col min="12" max="12" width="14" customWidth="1"/>
    <col min="13" max="13" width="6" customWidth="1"/>
    <col min="14" max="14" width="53.875" bestFit="1" customWidth="1"/>
  </cols>
  <sheetData>
    <row r="1" spans="1:14" ht="16.5">
      <c r="A1" s="1" t="s">
        <v>19</v>
      </c>
    </row>
    <row r="2" spans="1:14" ht="14.25">
      <c r="A2" s="2" t="s">
        <v>20</v>
      </c>
    </row>
    <row r="3" spans="1:14" ht="14.25">
      <c r="A3" s="2" t="s">
        <v>21</v>
      </c>
    </row>
    <row r="5" spans="1:14" ht="25.5">
      <c r="A5" s="3" t="s">
        <v>3</v>
      </c>
      <c r="B5" s="3" t="s">
        <v>22</v>
      </c>
      <c r="C5" s="3" t="s">
        <v>23</v>
      </c>
      <c r="D5" s="3" t="s">
        <v>5</v>
      </c>
      <c r="E5" s="3" t="s">
        <v>6</v>
      </c>
      <c r="F5" s="3" t="s">
        <v>24</v>
      </c>
      <c r="G5" s="24" t="s">
        <v>107</v>
      </c>
      <c r="H5" s="24" t="s">
        <v>106</v>
      </c>
      <c r="I5" s="3" t="s">
        <v>25</v>
      </c>
      <c r="J5" s="3" t="s">
        <v>26</v>
      </c>
      <c r="K5" s="3" t="s">
        <v>27</v>
      </c>
      <c r="L5" s="3" t="s">
        <v>9</v>
      </c>
      <c r="M5" s="3" t="s">
        <v>28</v>
      </c>
      <c r="N5" s="24" t="s">
        <v>108</v>
      </c>
    </row>
    <row r="6" spans="1:14" ht="27">
      <c r="A6" s="4">
        <v>1</v>
      </c>
      <c r="B6" s="5" t="s">
        <v>29</v>
      </c>
      <c r="C6" s="5" t="s">
        <v>30</v>
      </c>
      <c r="D6" s="5" t="s">
        <v>31</v>
      </c>
      <c r="E6" s="5" t="s">
        <v>32</v>
      </c>
      <c r="F6" s="6">
        <v>46188</v>
      </c>
      <c r="G6" s="7">
        <v>46228</v>
      </c>
      <c r="H6" s="13">
        <v>40</v>
      </c>
      <c r="I6" s="4" t="s">
        <v>33</v>
      </c>
      <c r="J6" s="14">
        <v>106628202.89</v>
      </c>
      <c r="K6" s="10">
        <f t="shared" ref="K6:K17" si="0">J6*0.001</f>
        <v>106628.20289</v>
      </c>
      <c r="L6" s="15">
        <f t="shared" ref="L6:L17" si="1">H6*K6</f>
        <v>4265128.1156000001</v>
      </c>
      <c r="M6" s="5" t="s">
        <v>34</v>
      </c>
      <c r="N6" s="35" t="s">
        <v>124</v>
      </c>
    </row>
    <row r="7" spans="1:14" ht="27">
      <c r="A7" s="4">
        <v>2</v>
      </c>
      <c r="B7" s="5" t="s">
        <v>29</v>
      </c>
      <c r="C7" s="5" t="s">
        <v>35</v>
      </c>
      <c r="D7" s="5" t="s">
        <v>31</v>
      </c>
      <c r="E7" s="5" t="s">
        <v>32</v>
      </c>
      <c r="F7" s="6">
        <v>46461</v>
      </c>
      <c r="G7" s="7"/>
      <c r="H7" s="13"/>
      <c r="I7" s="4" t="s">
        <v>33</v>
      </c>
      <c r="J7" s="14">
        <v>106628202.89</v>
      </c>
      <c r="K7" s="10">
        <f t="shared" si="0"/>
        <v>106628.20289</v>
      </c>
      <c r="L7" s="15">
        <f t="shared" si="1"/>
        <v>0</v>
      </c>
      <c r="M7" s="5" t="s">
        <v>34</v>
      </c>
      <c r="N7" s="11"/>
    </row>
    <row r="8" spans="1:14" ht="27">
      <c r="A8" s="4">
        <v>3</v>
      </c>
      <c r="B8" s="5" t="s">
        <v>29</v>
      </c>
      <c r="C8" s="5" t="s">
        <v>36</v>
      </c>
      <c r="D8" s="5" t="s">
        <v>31</v>
      </c>
      <c r="E8" s="5" t="s">
        <v>32</v>
      </c>
      <c r="F8" s="6">
        <v>46537</v>
      </c>
      <c r="G8" s="7"/>
      <c r="H8" s="13"/>
      <c r="I8" s="4" t="s">
        <v>33</v>
      </c>
      <c r="J8" s="14">
        <v>106628202.89</v>
      </c>
      <c r="K8" s="10">
        <f t="shared" si="0"/>
        <v>106628.20289</v>
      </c>
      <c r="L8" s="15">
        <f t="shared" si="1"/>
        <v>0</v>
      </c>
      <c r="M8" s="5" t="s">
        <v>34</v>
      </c>
      <c r="N8" s="11"/>
    </row>
    <row r="9" spans="1:14" ht="27">
      <c r="A9" s="4">
        <v>4</v>
      </c>
      <c r="B9" s="5" t="s">
        <v>29</v>
      </c>
      <c r="C9" s="5" t="s">
        <v>37</v>
      </c>
      <c r="D9" s="5" t="s">
        <v>31</v>
      </c>
      <c r="E9" s="5" t="s">
        <v>32</v>
      </c>
      <c r="F9" s="6">
        <v>46537</v>
      </c>
      <c r="G9" s="7"/>
      <c r="H9" s="13"/>
      <c r="I9" s="4" t="s">
        <v>33</v>
      </c>
      <c r="J9" s="14">
        <v>106628202.89</v>
      </c>
      <c r="K9" s="10">
        <f t="shared" si="0"/>
        <v>106628.20289</v>
      </c>
      <c r="L9" s="15">
        <f t="shared" si="1"/>
        <v>0</v>
      </c>
      <c r="M9" s="5" t="s">
        <v>34</v>
      </c>
      <c r="N9" s="11"/>
    </row>
    <row r="10" spans="1:14" ht="27">
      <c r="A10" s="4">
        <v>5</v>
      </c>
      <c r="B10" s="5" t="s">
        <v>29</v>
      </c>
      <c r="C10" s="5" t="s">
        <v>38</v>
      </c>
      <c r="D10" s="5" t="s">
        <v>31</v>
      </c>
      <c r="E10" s="5" t="s">
        <v>32</v>
      </c>
      <c r="F10" s="6">
        <v>46598</v>
      </c>
      <c r="G10" s="7"/>
      <c r="H10" s="13"/>
      <c r="I10" s="4" t="s">
        <v>33</v>
      </c>
      <c r="J10" s="14">
        <v>106628202.89</v>
      </c>
      <c r="K10" s="10">
        <f t="shared" si="0"/>
        <v>106628.20289</v>
      </c>
      <c r="L10" s="15">
        <f t="shared" si="1"/>
        <v>0</v>
      </c>
      <c r="M10" s="5" t="s">
        <v>34</v>
      </c>
      <c r="N10" s="11"/>
    </row>
    <row r="11" spans="1:14" ht="27">
      <c r="A11" s="4">
        <v>6</v>
      </c>
      <c r="B11" s="5" t="s">
        <v>29</v>
      </c>
      <c r="C11" s="5" t="s">
        <v>39</v>
      </c>
      <c r="D11" s="5" t="s">
        <v>31</v>
      </c>
      <c r="E11" s="5" t="s">
        <v>32</v>
      </c>
      <c r="F11" s="6">
        <v>46672</v>
      </c>
      <c r="G11" s="7"/>
      <c r="H11" s="13"/>
      <c r="I11" s="4" t="s">
        <v>33</v>
      </c>
      <c r="J11" s="14">
        <v>106628202.89</v>
      </c>
      <c r="K11" s="10">
        <f t="shared" si="0"/>
        <v>106628.20289</v>
      </c>
      <c r="L11" s="15">
        <f t="shared" si="1"/>
        <v>0</v>
      </c>
      <c r="M11" s="5" t="s">
        <v>40</v>
      </c>
      <c r="N11" s="11"/>
    </row>
    <row r="12" spans="1:14" ht="27">
      <c r="A12" s="32">
        <v>7</v>
      </c>
      <c r="B12" s="33" t="s">
        <v>41</v>
      </c>
      <c r="C12" s="33" t="s">
        <v>30</v>
      </c>
      <c r="D12" s="33" t="s">
        <v>31</v>
      </c>
      <c r="E12" s="33" t="s">
        <v>32</v>
      </c>
      <c r="F12" s="34">
        <v>46174</v>
      </c>
      <c r="G12" s="7" t="s">
        <v>123</v>
      </c>
      <c r="H12" s="7" t="s">
        <v>123</v>
      </c>
      <c r="I12" s="4"/>
      <c r="J12" s="14"/>
      <c r="K12" s="10"/>
      <c r="L12" s="15"/>
      <c r="M12" s="5"/>
      <c r="N12" s="11"/>
    </row>
    <row r="13" spans="1:14" ht="27">
      <c r="A13" s="32">
        <v>8</v>
      </c>
      <c r="B13" s="33" t="s">
        <v>41</v>
      </c>
      <c r="C13" s="33" t="s">
        <v>42</v>
      </c>
      <c r="D13" s="33" t="s">
        <v>31</v>
      </c>
      <c r="E13" s="33" t="s">
        <v>32</v>
      </c>
      <c r="F13" s="34">
        <v>46492</v>
      </c>
      <c r="G13" s="7" t="s">
        <v>123</v>
      </c>
      <c r="H13" s="7" t="s">
        <v>123</v>
      </c>
      <c r="I13" s="4"/>
      <c r="J13" s="14"/>
      <c r="K13" s="10"/>
      <c r="L13" s="15"/>
      <c r="M13" s="5"/>
      <c r="N13" s="11"/>
    </row>
    <row r="14" spans="1:14" ht="27">
      <c r="A14" s="32">
        <v>9</v>
      </c>
      <c r="B14" s="33" t="s">
        <v>41</v>
      </c>
      <c r="C14" s="33" t="s">
        <v>43</v>
      </c>
      <c r="D14" s="33" t="s">
        <v>31</v>
      </c>
      <c r="E14" s="33" t="s">
        <v>32</v>
      </c>
      <c r="F14" s="34">
        <v>46537</v>
      </c>
      <c r="G14" s="7" t="s">
        <v>123</v>
      </c>
      <c r="H14" s="7" t="s">
        <v>123</v>
      </c>
      <c r="I14" s="4"/>
      <c r="J14" s="14"/>
      <c r="K14" s="10"/>
      <c r="L14" s="15"/>
      <c r="M14" s="5"/>
      <c r="N14" s="11"/>
    </row>
    <row r="15" spans="1:14" ht="27">
      <c r="A15" s="32">
        <v>10</v>
      </c>
      <c r="B15" s="33" t="s">
        <v>41</v>
      </c>
      <c r="C15" s="33" t="s">
        <v>44</v>
      </c>
      <c r="D15" s="33" t="s">
        <v>31</v>
      </c>
      <c r="E15" s="33" t="s">
        <v>32</v>
      </c>
      <c r="F15" s="34">
        <v>46568</v>
      </c>
      <c r="G15" s="7" t="s">
        <v>123</v>
      </c>
      <c r="H15" s="7" t="s">
        <v>123</v>
      </c>
      <c r="I15" s="4"/>
      <c r="J15" s="14"/>
      <c r="K15" s="10"/>
      <c r="L15" s="15"/>
      <c r="M15" s="5"/>
      <c r="N15" s="11"/>
    </row>
    <row r="16" spans="1:14" ht="27">
      <c r="A16" s="32">
        <v>11</v>
      </c>
      <c r="B16" s="33" t="s">
        <v>41</v>
      </c>
      <c r="C16" s="33" t="s">
        <v>38</v>
      </c>
      <c r="D16" s="33" t="s">
        <v>31</v>
      </c>
      <c r="E16" s="33" t="s">
        <v>32</v>
      </c>
      <c r="F16" s="34">
        <v>46598</v>
      </c>
      <c r="G16" s="7" t="s">
        <v>123</v>
      </c>
      <c r="H16" s="7" t="s">
        <v>123</v>
      </c>
      <c r="I16" s="4"/>
      <c r="J16" s="14"/>
      <c r="K16" s="10"/>
      <c r="L16" s="15"/>
      <c r="M16" s="5"/>
      <c r="N16" s="11"/>
    </row>
    <row r="17" spans="1:14" ht="27">
      <c r="A17" s="32">
        <v>12</v>
      </c>
      <c r="B17" s="33" t="s">
        <v>41</v>
      </c>
      <c r="C17" s="33" t="s">
        <v>39</v>
      </c>
      <c r="D17" s="33" t="s">
        <v>31</v>
      </c>
      <c r="E17" s="33" t="s">
        <v>32</v>
      </c>
      <c r="F17" s="34">
        <v>46672</v>
      </c>
      <c r="G17" s="7" t="s">
        <v>123</v>
      </c>
      <c r="H17" s="7" t="s">
        <v>123</v>
      </c>
      <c r="I17" s="4"/>
      <c r="J17" s="14"/>
      <c r="K17" s="10"/>
      <c r="L17" s="15"/>
      <c r="M17" s="5"/>
      <c r="N17" s="11"/>
    </row>
    <row r="18" spans="1:14">
      <c r="A18" s="4"/>
      <c r="B18" s="12" t="s">
        <v>45</v>
      </c>
      <c r="C18" s="5"/>
      <c r="D18" s="5"/>
      <c r="E18" s="5"/>
      <c r="F18" s="11"/>
      <c r="G18" s="11"/>
      <c r="H18" s="4"/>
      <c r="I18" s="4"/>
      <c r="J18" s="11"/>
      <c r="K18" s="11"/>
      <c r="L18" s="15">
        <f>SUM(L6:L17)</f>
        <v>4265128.1156000001</v>
      </c>
      <c r="M18" s="5"/>
      <c r="N18" s="11"/>
    </row>
  </sheetData>
  <phoneticPr fontId="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3" topLeftCell="A4" activePane="bottomLeft" state="frozen"/>
      <selection pane="bottomLeft" activeCell="E18" sqref="E18"/>
    </sheetView>
  </sheetViews>
  <sheetFormatPr defaultRowHeight="13.5"/>
  <cols>
    <col min="1" max="1" width="5" customWidth="1"/>
    <col min="2" max="2" width="34" customWidth="1"/>
    <col min="3" max="4" width="44" customWidth="1"/>
    <col min="5" max="5" width="22" customWidth="1"/>
    <col min="6" max="6" width="16" customWidth="1"/>
    <col min="7" max="7" width="13.125" bestFit="1" customWidth="1"/>
    <col min="8" max="8" width="14" customWidth="1"/>
    <col min="9" max="9" width="30" customWidth="1"/>
  </cols>
  <sheetData>
    <row r="1" spans="1:7" ht="16.5">
      <c r="A1" s="1" t="s">
        <v>46</v>
      </c>
    </row>
    <row r="2" spans="1:7" ht="14.25">
      <c r="A2" s="2" t="s">
        <v>47</v>
      </c>
    </row>
    <row r="5" spans="1:7" ht="15">
      <c r="A5" s="21" t="s">
        <v>99</v>
      </c>
    </row>
    <row r="6" spans="1:7" ht="16.5">
      <c r="A6" s="3" t="s">
        <v>3</v>
      </c>
      <c r="B6" s="3" t="s">
        <v>50</v>
      </c>
      <c r="C6" s="3" t="s">
        <v>48</v>
      </c>
      <c r="D6" s="3" t="s">
        <v>51</v>
      </c>
      <c r="E6" s="24" t="s">
        <v>109</v>
      </c>
      <c r="F6" s="24" t="s">
        <v>110</v>
      </c>
      <c r="G6" s="3" t="s">
        <v>49</v>
      </c>
    </row>
    <row r="7" spans="1:7" ht="63.75">
      <c r="A7" s="18">
        <v>1</v>
      </c>
      <c r="B7" s="19" t="s">
        <v>52</v>
      </c>
      <c r="C7" s="26" t="s">
        <v>113</v>
      </c>
      <c r="D7" s="19" t="s">
        <v>53</v>
      </c>
      <c r="E7" s="31" t="s">
        <v>122</v>
      </c>
      <c r="F7" s="30" t="s">
        <v>121</v>
      </c>
      <c r="G7" s="19" t="s">
        <v>54</v>
      </c>
    </row>
    <row r="8" spans="1:7" ht="38.25">
      <c r="A8" s="18">
        <v>2</v>
      </c>
      <c r="B8" s="19" t="s">
        <v>55</v>
      </c>
      <c r="C8" s="27" t="s">
        <v>114</v>
      </c>
      <c r="D8" s="19" t="s">
        <v>56</v>
      </c>
      <c r="E8" s="31" t="s">
        <v>122</v>
      </c>
      <c r="F8" s="31" t="s">
        <v>121</v>
      </c>
      <c r="G8" s="19" t="s">
        <v>57</v>
      </c>
    </row>
    <row r="9" spans="1:7" ht="51">
      <c r="A9" s="18">
        <v>3</v>
      </c>
      <c r="B9" s="28" t="s">
        <v>115</v>
      </c>
      <c r="C9" s="26" t="s">
        <v>113</v>
      </c>
      <c r="D9" s="19" t="s">
        <v>58</v>
      </c>
      <c r="E9" s="31" t="s">
        <v>122</v>
      </c>
      <c r="F9" s="31" t="s">
        <v>121</v>
      </c>
      <c r="G9" s="19" t="s">
        <v>59</v>
      </c>
    </row>
    <row r="10" spans="1:7" ht="14.25">
      <c r="A10" s="18">
        <v>4</v>
      </c>
      <c r="B10" s="19" t="s">
        <v>60</v>
      </c>
      <c r="C10" s="26" t="s">
        <v>117</v>
      </c>
      <c r="D10" s="19" t="s">
        <v>61</v>
      </c>
      <c r="E10" s="31" t="s">
        <v>122</v>
      </c>
      <c r="F10" s="31" t="s">
        <v>121</v>
      </c>
      <c r="G10" s="28"/>
    </row>
    <row r="11" spans="1:7" ht="25.5">
      <c r="A11" s="18">
        <v>5</v>
      </c>
      <c r="B11" s="19" t="s">
        <v>62</v>
      </c>
      <c r="C11" s="26" t="s">
        <v>116</v>
      </c>
      <c r="D11" s="29" t="s">
        <v>118</v>
      </c>
      <c r="E11" s="31" t="s">
        <v>122</v>
      </c>
      <c r="F11" s="31" t="s">
        <v>121</v>
      </c>
      <c r="G11" s="19" t="s">
        <v>63</v>
      </c>
    </row>
    <row r="13" spans="1:7" ht="15">
      <c r="A13" s="21" t="s">
        <v>103</v>
      </c>
    </row>
    <row r="14" spans="1:7" ht="25.5">
      <c r="A14" s="3" t="s">
        <v>3</v>
      </c>
      <c r="B14" s="3" t="s">
        <v>5</v>
      </c>
      <c r="C14" s="3" t="s">
        <v>48</v>
      </c>
      <c r="D14" s="3" t="s">
        <v>64</v>
      </c>
      <c r="E14" s="25" t="s">
        <v>111</v>
      </c>
      <c r="F14" s="25" t="s">
        <v>112</v>
      </c>
      <c r="G14" s="3" t="s">
        <v>49</v>
      </c>
    </row>
    <row r="15" spans="1:7" ht="27">
      <c r="A15" s="4">
        <v>1</v>
      </c>
      <c r="B15" s="5" t="s">
        <v>120</v>
      </c>
      <c r="C15" s="5" t="s">
        <v>119</v>
      </c>
      <c r="D15" s="9">
        <v>5000</v>
      </c>
      <c r="E15" s="20">
        <v>0</v>
      </c>
      <c r="F15" s="10">
        <f>D15*E15</f>
        <v>0</v>
      </c>
      <c r="G15" s="5" t="s">
        <v>65</v>
      </c>
    </row>
    <row r="16" spans="1:7">
      <c r="A16" s="4">
        <v>2</v>
      </c>
      <c r="B16" s="5" t="s">
        <v>66</v>
      </c>
      <c r="C16" s="5" t="s">
        <v>119</v>
      </c>
      <c r="D16" s="9">
        <v>500</v>
      </c>
      <c r="E16" s="20">
        <v>0</v>
      </c>
      <c r="F16" s="10">
        <f>D16*E16</f>
        <v>0</v>
      </c>
      <c r="G16" s="5" t="s">
        <v>65</v>
      </c>
    </row>
    <row r="17" spans="1:7" ht="27">
      <c r="A17" s="4">
        <v>3</v>
      </c>
      <c r="B17" s="5" t="s">
        <v>67</v>
      </c>
      <c r="C17" s="5" t="s">
        <v>119</v>
      </c>
      <c r="D17" s="9">
        <v>5000</v>
      </c>
      <c r="E17" s="20">
        <v>0</v>
      </c>
      <c r="F17" s="10">
        <f>D17*E17</f>
        <v>0</v>
      </c>
      <c r="G17" s="5" t="s">
        <v>68</v>
      </c>
    </row>
    <row r="18" spans="1:7" ht="27">
      <c r="A18" s="4">
        <v>4</v>
      </c>
      <c r="B18" s="5" t="s">
        <v>69</v>
      </c>
      <c r="C18" s="5" t="s">
        <v>119</v>
      </c>
      <c r="D18" s="9">
        <v>3000</v>
      </c>
      <c r="E18" s="20">
        <v>0</v>
      </c>
      <c r="F18" s="10">
        <f>D18*E18</f>
        <v>0</v>
      </c>
      <c r="G18" s="5" t="s">
        <v>70</v>
      </c>
    </row>
    <row r="19" spans="1:7">
      <c r="A19" s="4"/>
      <c r="B19" s="12" t="s">
        <v>45</v>
      </c>
      <c r="C19" s="5"/>
      <c r="D19" s="11"/>
      <c r="E19" s="4"/>
      <c r="F19" s="10">
        <f>SUM(F15:F18)</f>
        <v>0</v>
      </c>
      <c r="G19" s="5"/>
    </row>
  </sheetData>
  <phoneticPr fontId="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B16" sqref="B16"/>
    </sheetView>
  </sheetViews>
  <sheetFormatPr defaultRowHeight="13.5"/>
  <cols>
    <col min="1" max="1" width="24" customWidth="1"/>
    <col min="2" max="2" width="95" customWidth="1"/>
  </cols>
  <sheetData>
    <row r="1" spans="1:2" ht="16.5">
      <c r="A1" s="1" t="s">
        <v>71</v>
      </c>
    </row>
    <row r="3" spans="1:2">
      <c r="A3" s="16" t="s">
        <v>72</v>
      </c>
      <c r="B3" s="17"/>
    </row>
    <row r="4" spans="1:2">
      <c r="A4" s="17" t="s">
        <v>48</v>
      </c>
      <c r="B4" s="17" t="s">
        <v>73</v>
      </c>
    </row>
    <row r="5" spans="1:2">
      <c r="A5" s="17" t="s">
        <v>74</v>
      </c>
      <c r="B5" s="17" t="s">
        <v>75</v>
      </c>
    </row>
    <row r="6" spans="1:2" ht="16.5">
      <c r="A6" s="17" t="s">
        <v>76</v>
      </c>
      <c r="B6" s="22" t="s">
        <v>100</v>
      </c>
    </row>
    <row r="7" spans="1:2">
      <c r="A7" s="17" t="s">
        <v>5</v>
      </c>
      <c r="B7" s="17" t="s">
        <v>77</v>
      </c>
    </row>
    <row r="8" spans="1:2" ht="16.5">
      <c r="A8" s="17" t="s">
        <v>78</v>
      </c>
      <c r="B8" s="22" t="s">
        <v>101</v>
      </c>
    </row>
    <row r="9" spans="1:2">
      <c r="A9" s="17"/>
      <c r="B9" s="17"/>
    </row>
    <row r="10" spans="1:2">
      <c r="A10" s="16" t="s">
        <v>79</v>
      </c>
      <c r="B10" s="17"/>
    </row>
    <row r="11" spans="1:2">
      <c r="A11" s="17" t="s">
        <v>48</v>
      </c>
      <c r="B11" s="17" t="s">
        <v>80</v>
      </c>
    </row>
    <row r="12" spans="1:2">
      <c r="A12" s="17" t="s">
        <v>81</v>
      </c>
      <c r="B12" s="17" t="s">
        <v>82</v>
      </c>
    </row>
    <row r="13" spans="1:2">
      <c r="A13" s="17" t="s">
        <v>78</v>
      </c>
      <c r="B13" s="17" t="s">
        <v>83</v>
      </c>
    </row>
    <row r="14" spans="1:2">
      <c r="A14" s="17" t="s">
        <v>84</v>
      </c>
      <c r="B14" s="17" t="s">
        <v>85</v>
      </c>
    </row>
    <row r="15" spans="1:2">
      <c r="A15" s="17"/>
      <c r="B15" s="17"/>
    </row>
    <row r="16" spans="1:2" ht="25.5">
      <c r="A16" s="16" t="s">
        <v>86</v>
      </c>
      <c r="B16" s="17"/>
    </row>
    <row r="17" spans="1:2">
      <c r="A17" s="17" t="s">
        <v>87</v>
      </c>
      <c r="B17" s="17" t="s">
        <v>88</v>
      </c>
    </row>
    <row r="18" spans="1:2">
      <c r="A18" s="17" t="s">
        <v>89</v>
      </c>
      <c r="B18" s="17" t="s">
        <v>90</v>
      </c>
    </row>
    <row r="19" spans="1:2">
      <c r="A19" s="17" t="s">
        <v>91</v>
      </c>
      <c r="B19" s="17" t="s">
        <v>92</v>
      </c>
    </row>
    <row r="20" spans="1:2">
      <c r="A20" s="17" t="s">
        <v>93</v>
      </c>
      <c r="B20" s="17" t="s">
        <v>94</v>
      </c>
    </row>
    <row r="21" spans="1:2">
      <c r="A21" s="17"/>
      <c r="B21" s="17"/>
    </row>
    <row r="22" spans="1:2">
      <c r="A22" s="16" t="s">
        <v>95</v>
      </c>
      <c r="B22" s="17"/>
    </row>
    <row r="23" spans="1:2">
      <c r="A23" s="17" t="s">
        <v>96</v>
      </c>
      <c r="B23" s="17" t="s">
        <v>97</v>
      </c>
    </row>
    <row r="24" spans="1:2" ht="16.5">
      <c r="A24" s="17" t="s">
        <v>98</v>
      </c>
      <c r="B24" s="23" t="s">
        <v>102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关键人员LD核对</vt:lpstr>
      <vt:lpstr>里程碑LD核对</vt:lpstr>
      <vt:lpstr>计划违约LD核对</vt:lpstr>
      <vt:lpstr>说明与基数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2026-09-16T05:24:35Z</dcterms:created>
  <dcterms:modified xsi:type="dcterms:W3CDTF">2026-09-16T12:13:20Z</dcterms:modified>
</cp:coreProperties>
</file>